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orbeeld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<sst xmlns="http://schemas.openxmlformats.org/spreadsheetml/2006/main" count="25" uniqueCount="21">
  <si>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 xml:space="preserve">Voorbeeld: eenvoudig maandbudget</t>
  </si>
  <si>
    <t xml:space="preserve">Demonstratie van de xlsx-skill — formules herberekenen automatisch bij wijziging van de blauwe invoercellen.</t>
  </si>
  <si>
    <t xml:space="preserve">Categorie</t>
  </si>
  <si>
    <t xml:space="preserve">Type</t>
  </si>
  <si>
    <t xml:space="preserve">Bedrag (EUR)</t>
  </si>
  <si>
    <t xml:space="preserve">% van totaal</t>
  </si>
  <si>
    <t xml:space="preserve">Salaris</t>
  </si>
  <si>
    <t xml:space="preserve">Inkomsten</t>
  </si>
  <si>
    <t xml:space="preserve">Freelance</t>
  </si>
  <si>
    <t xml:space="preserve">Huur</t>
  </si>
  <si>
    <t xml:space="preserve">Vaste lasten</t>
  </si>
  <si>
    <t xml:space="preserve">Verzekeringen</t>
  </si>
  <si>
    <t xml:space="preserve">Boodschappen</t>
  </si>
  <si>
    <t xml:space="preserve">Variabel</t>
  </si>
  <si>
    <t xml:space="preserve">Vervoer</t>
  </si>
  <si>
    <t xml:space="preserve">Sparen</t>
  </si>
  <si>
    <t xml:space="preserve">Netto resultaat</t>
  </si>
  <si>
    <t xml:space="preserve">Totaal inkomsten</t>
  </si>
  <si>
    <t xml:space="preserve">Totaal uitgaven</t>
  </si>
  <si>
    <t xml:space="preserve">Spaarpercentage</t>
  </si>
  <si>
    <t xml:space="preserve">Legenda: blauwe cellen (kolom C, rij 5-11) zijn invoercellen — pas ze aan en de rest herberekent.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</si>
</sst>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;&quot;(€&quot;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9878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2B7"/>
      </left>
      <right style="thin">
        <color rgb="FFC3C2B7"/>
      </right>
      <top style="thin">
        <color rgb="FFC3C2B7"/>
      </top>
      <bottom style="thin">
        <color rgb="FFC3C2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2B7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98781"/>
      <rgbColor rgb="FF1E2761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Bedrag per categorie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Voorbeeldbudget!C4</c:f>
              <c:strCache>
                <c:ptCount val="1"/>
                <c:pt idx="0">
                  <c:v>Bedrag (EUR)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Voorbeeldbudget!$A$5:$A$11</c:f>
              <c:strCache>
                <c:ptCount val="7"/>
                <c:pt idx="0">
                  <c:v>Salaris</c:v>
                </c:pt>
                <c:pt idx="1">
                  <c:v>Freelance</c:v>
                </c:pt>
                <c:pt idx="2">
                  <c:v>Huur</c:v>
                </c:pt>
                <c:pt idx="3">
                  <c:v>Verzekeringen</c:v>
                </c:pt>
                <c:pt idx="4">
                  <c:v>Boodschappen</c:v>
                </c:pt>
                <c:pt idx="5">
                  <c:v>Vervoer</c:v>
                </c:pt>
                <c:pt idx="6">
                  <c:v>Sparen</c:v>
                </c:pt>
              </c:strCache>
            </c:strRef>
          </c:cat>
          <c:val>
            <c:numRef>
              <c:f>Voorbeeldbudget!$C$5:$C$11</c:f>
              <c:numCache>
                <c:formatCode>\€#,##0;"(€"#,##0\);\-</c:formatCode>
                <c:ptCount val="7"/>
                <c:pt idx="0">
                  <c:v>3200</c:v>
                </c:pt>
                <c:pt idx="1">
                  <c:v>450</c:v>
                </c:pt>
                <c:pt idx="2">
                  <c:v>-1150</c:v>
                </c:pt>
                <c:pt idx="3">
                  <c:v>-180</c:v>
                </c:pt>
                <c:pt idx="4">
                  <c:v>-420</c:v>
                </c:pt>
                <c:pt idx="5">
                  <c:v>-90</c:v>
                </c:pt>
                <c:pt idx="6">
                  <c:v>-300</c:v>
                </c:pt>
              </c:numCache>
            </c:numRef>
          </c:val>
        </c:ser>
        <c:gapWidth val="150"/>
        <c:overlap val="0"/>
        <c:axId val="63874151"/>
        <c:axId val="88038507"/>
      </c:barChart>
      <c:catAx>
        <c:axId val="63874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38507"/>
        <c:crosses val="autoZero"/>
        <c:auto val="1"/>
        <c:lblAlgn val="ctr"/>
        <c:lblOffset val="100"/>
        <c:noMultiLvlLbl val="0"/>
      </c:catAx>
      <c:valAx>
        <c:axId val="88038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;&quot;(€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74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11</xdr:col>
      <xdr:colOff>486720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680400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3200</v>
      </c>
      <c r="D5" s="6" t="n">
        <f aca="false">ABS(C5)/SUMPRODUCT(ABS(C5:C11))</f>
        <v>0.552677029360967</v>
      </c>
    </row>
    <row r="6" customFormat="false" ht="15" hidden="false" customHeight="false" outlineLevel="0" collapsed="false">
      <c r="A6" s="4" t="s">
        <v>8</v>
      </c>
      <c r="B6" s="4" t="s">
        <v>7</v>
      </c>
      <c r="C6" s="5" t="n">
        <v>450</v>
      </c>
      <c r="D6" s="6" t="n">
        <f aca="false">ABS(C6)/SUMPRODUCT(ABS(C5:C11))</f>
        <v>0.077720207253886</v>
      </c>
    </row>
    <row r="7" customFormat="false" ht="15" hidden="false" customHeight="false" outlineLevel="0" collapsed="false">
      <c r="A7" s="4" t="s">
        <v>9</v>
      </c>
      <c r="B7" s="4" t="s">
        <v>10</v>
      </c>
      <c r="C7" s="5" t="n">
        <v>-1150</v>
      </c>
      <c r="D7" s="6" t="n">
        <f aca="false">ABS(C7)/SUMPRODUCT(ABS(C5:C11))</f>
        <v>0.198618307426598</v>
      </c>
    </row>
    <row r="8" customFormat="false" ht="15" hidden="false" customHeight="false" outlineLevel="0" collapsed="false">
      <c r="A8" s="4" t="s">
        <v>11</v>
      </c>
      <c r="B8" s="4" t="s">
        <v>10</v>
      </c>
      <c r="C8" s="5" t="n">
        <v>-180</v>
      </c>
      <c r="D8" s="6" t="n">
        <f aca="false">ABS(C8)/SUMPRODUCT(ABS(C5:C11))</f>
        <v>0.0310880829015544</v>
      </c>
    </row>
    <row r="9" customFormat="false" ht="15" hidden="false" customHeight="false" outlineLevel="0" collapsed="false">
      <c r="A9" s="4" t="s">
        <v>12</v>
      </c>
      <c r="B9" s="4" t="s">
        <v>13</v>
      </c>
      <c r="C9" s="5" t="n">
        <v>-420</v>
      </c>
      <c r="D9" s="6" t="n">
        <f aca="false">ABS(C9)/SUMPRODUCT(ABS(C5:C11))</f>
        <v>0.0725388601036269</v>
      </c>
    </row>
    <row r="10" customFormat="false" ht="15" hidden="false" customHeight="false" outlineLevel="0" collapsed="false">
      <c r="A10" s="4" t="s">
        <v>14</v>
      </c>
      <c r="B10" s="4" t="s">
        <v>13</v>
      </c>
      <c r="C10" s="5" t="n">
        <v>-90</v>
      </c>
      <c r="D10" s="6" t="n">
        <f aca="false">ABS(C10)/SUMPRODUCT(ABS(C5:C11))</f>
        <v>0.0155440414507772</v>
      </c>
    </row>
    <row r="11" customFormat="false" ht="15" hidden="false" customHeight="false" outlineLevel="0" collapsed="false">
      <c r="A11" s="4" t="s">
        <v>15</v>
      </c>
      <c r="B11" s="4" t="s">
        <v>15</v>
      </c>
      <c r="C11" s="5" t="n">
        <v>-300</v>
      </c>
      <c r="D11" s="6" t="n">
        <f aca="false">ABS(C11)/SUMPRODUCT(ABS(C5:C11))</f>
        <v>0.0518134715025907</v>
      </c>
    </row>
    <row r="12" customFormat="false" ht="15" hidden="false" customHeight="false" outlineLevel="0" collapsed="false">
      <c r="A12" s="7" t="s">
        <v>16</v>
      </c>
      <c r="B12" s="8"/>
      <c r="C12" s="9" t="n">
        <f aca="false">SUM(C5:C11)</f>
        <v>1510</v>
      </c>
      <c r="D12" s="8"/>
    </row>
    <row r="14" customFormat="false" ht="15" hidden="false" customHeight="false" outlineLevel="0" collapsed="false">
      <c r="A14" s="10" t="s">
        <v>17</v>
      </c>
      <c r="C14" s="11" t="n">
        <f aca="false">SUMIFS(C5:C11,B5:B11,"Inkomsten")</f>
        <v>3650</v>
      </c>
    </row>
    <row r="15" customFormat="false" ht="15" hidden="false" customHeight="false" outlineLevel="0" collapsed="false">
      <c r="A15" s="10" t="s">
        <v>18</v>
      </c>
      <c r="C15" s="11" t="n">
        <f aca="false">SUMIFS(C5:C11,B5:B11,"&lt;&gt;Inkomsten")</f>
        <v>-2140</v>
      </c>
    </row>
    <row r="16" customFormat="false" ht="15" hidden="false" customHeight="false" outlineLevel="0" collapsed="false">
      <c r="A16" s="10" t="s">
        <v>19</v>
      </c>
      <c r="C16" s="12" t="n">
        <f aca="false">IFERROR(-SUMIFS(C5:C11,B5:B11,"Sparen")/C14,0)</f>
        <v>0.0821917808219178</v>
      </c>
    </row>
    <row r="18" customFormat="false" ht="15" hidden="false" customHeight="false" outlineLevel="0" collapsed="false">
      <c r="A18" s="13" t="s">
        <v>20</v>
      </c>
      <c r="B18" s="13"/>
      <c r="C18" s="13"/>
      <c r="D18" s="13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2026-07-29T21:05:32Z</dcterms:created>
  <dc:creator>openpyxl</dc:creator>
  <dc:description/>
  <dc:language>en-US</dc:language>
  <cp:lastModifiedBy/>
  <dcterms:modified xsi:type="dcterms:W3CDTF">2026-07-29T21:05:34Z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